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SSR" sheetId="1" state="visible" r:id="rId1"/>
    <sheet xmlns:r="http://schemas.openxmlformats.org/officeDocument/2006/relationships" name="Katalog"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6"/>
    </font>
    <font>
      <b val="1"/>
      <color rgb="00FFFFFF"/>
      <sz val="12"/>
    </font>
    <font>
      <i val="1"/>
    </font>
  </fonts>
  <fills count="6">
    <fill>
      <patternFill/>
    </fill>
    <fill>
      <patternFill patternType="gray125"/>
    </fill>
    <fill>
      <patternFill patternType="solid">
        <fgColor rgb="000B3D91"/>
      </patternFill>
    </fill>
    <fill>
      <patternFill patternType="solid">
        <fgColor rgb="00FFF2CC"/>
      </patternFill>
    </fill>
    <fill>
      <patternFill patternType="solid">
        <fgColor rgb="00D9E2F3"/>
      </patternFill>
    </fill>
    <fill>
      <patternFill patternType="solid">
        <fgColor rgb="00E7E6E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5">
    <xf numFmtId="0" fontId="0" fillId="0" borderId="0" pivotButton="0" quotePrefix="0" xfId="0"/>
    <xf numFmtId="0" fontId="2" fillId="0" borderId="0" pivotButton="0" quotePrefix="0" xfId="0"/>
    <xf numFmtId="0" fontId="1" fillId="0" borderId="0" pivotButton="0" quotePrefix="0" xfId="0"/>
    <xf numFmtId="0" fontId="4" fillId="0" borderId="0" pivotButton="0" quotePrefix="0" xfId="0"/>
    <xf numFmtId="0" fontId="3" fillId="2" borderId="0" pivotButton="0" quotePrefix="0" xfId="0"/>
    <xf numFmtId="0" fontId="0" fillId="2" borderId="0" pivotButton="0" quotePrefix="0" xfId="0"/>
    <xf numFmtId="0" fontId="1" fillId="0" borderId="0" applyAlignment="1" pivotButton="0" quotePrefix="0" xfId="0">
      <alignment vertical="top" wrapText="1"/>
    </xf>
    <xf numFmtId="0" fontId="0" fillId="3" borderId="1" applyAlignment="1" pivotButton="0" quotePrefix="0" xfId="0">
      <alignment vertical="top" wrapText="1"/>
    </xf>
    <xf numFmtId="0" fontId="0" fillId="0" borderId="1" pivotButton="0" quotePrefix="0" xfId="0"/>
    <xf numFmtId="0" fontId="0" fillId="0" borderId="1" applyAlignment="1" pivotButton="0" quotePrefix="0" xfId="0">
      <alignment vertical="top" wrapText="1"/>
    </xf>
    <xf numFmtId="0" fontId="1" fillId="4" borderId="0" pivotButton="0" quotePrefix="0" xfId="0"/>
    <xf numFmtId="0" fontId="0" fillId="3" borderId="1" applyAlignment="1" pivotButton="0" quotePrefix="0" xfId="0">
      <alignment wrapText="1"/>
    </xf>
    <xf numFmtId="0" fontId="0" fillId="5" borderId="1" pivotButton="0" quotePrefix="0" xfId="0"/>
    <xf numFmtId="0" fontId="0" fillId="3" borderId="1" pivotButton="0" quotePrefix="0" xfId="0"/>
    <xf numFmtId="0" fontId="0" fillId="0" borderId="0" applyAlignment="1" pivotButton="0" quotePrefix="0" xfId="0">
      <alignment vertical="top" wrapText="1"/>
    </xf>
  </cellXfs>
  <cellStyles count="1">
    <cellStyle name="Normal" xfId="0" builtinId="0" hidden="0"/>
  </cellStyles>
  <dxfs count="2">
    <dxf>
      <font>
        <b val="1"/>
        <color rgb="00007A33"/>
      </font>
    </dxf>
    <dxf>
      <font>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18"/>
  <sheetViews>
    <sheetView zoomScale="100" workbookViewId="0">
      <pane ySplit="2" topLeftCell="A3" activePane="bottomLeft" state="frozen"/>
      <selection pane="bottomLeft" activeCell="A1" sqref="A1"/>
    </sheetView>
  </sheetViews>
  <sheetFormatPr baseColWidth="8" defaultRowHeight="15"/>
  <cols>
    <col width="60" customWidth="1" min="1" max="1"/>
    <col width="52" customWidth="1" min="2" max="2"/>
    <col width="14" customWidth="1" min="3" max="3"/>
    <col width="16" customWidth="1" min="4" max="4"/>
    <col width="40" customWidth="1" min="5" max="5"/>
    <col width="3" customWidth="1" min="6" max="6"/>
  </cols>
  <sheetData>
    <row r="1">
      <c r="A1" s="1" t="inlineStr">
        <is>
          <t>TSSR – simplified site survey report</t>
        </is>
      </c>
      <c r="D1" s="2" t="inlineStr">
        <is>
          <t>Status:</t>
        </is>
      </c>
      <c r="E1" s="2">
        <f>IF(((B4="")+(B5="")+(B6="")+(B7="")+(B8="")+(B9="")+(B10="")+(B11="")+(B16="")+(B17="")+(B20="")+(B105="")+(B106="")+(B107="")+(B108="")+(B109="")+(B110=""))=0,"✔ complete",((B4="")+(B5="")+(B6="")+(B7="")+(B8="")+(B9="")+(B10="")+(B11="")+(B16="")+(B17="")+(B20="")+(B105="")+(B106="")+(B107="")+(B108="")+(B109="")+(B110=""))&amp;" mandatory fields missing")</f>
        <v/>
      </c>
    </row>
    <row r="2">
      <c r="A2" s="3" t="inlineStr">
        <is>
          <t>Yellow = fill in, grey = automatic, white = optional.</t>
        </is>
      </c>
    </row>
    <row r="3">
      <c r="A3" s="4" t="inlineStr">
        <is>
          <t>1. SITE</t>
        </is>
      </c>
      <c r="B3" s="5" t="n"/>
      <c r="C3" s="5" t="n"/>
      <c r="D3" s="5" t="n"/>
      <c r="E3" s="5" t="n"/>
    </row>
    <row r="4">
      <c r="A4" s="6" t="inlineStr">
        <is>
          <t>Site code</t>
        </is>
      </c>
      <c r="B4" s="7" t="n"/>
      <c r="C4" s="8" t="n"/>
      <c r="D4" s="8" t="n"/>
      <c r="E4" s="8" t="n"/>
    </row>
    <row r="5">
      <c r="A5" s="6" t="inlineStr">
        <is>
          <t>Site name</t>
        </is>
      </c>
      <c r="B5" s="7" t="n"/>
      <c r="C5" s="8" t="n"/>
      <c r="D5" s="8" t="n"/>
      <c r="E5" s="8" t="n"/>
    </row>
    <row r="6">
      <c r="A6" s="6" t="inlineStr">
        <is>
          <t>Address</t>
        </is>
      </c>
      <c r="B6" s="7" t="n"/>
      <c r="C6" s="8" t="n"/>
      <c r="D6" s="8" t="n"/>
      <c r="E6" s="8" t="n"/>
    </row>
    <row r="7">
      <c r="A7" s="6" t="inlineStr">
        <is>
          <t>GPS coordinates (lat, lon)</t>
        </is>
      </c>
      <c r="B7" s="7" t="n"/>
      <c r="C7" s="8" t="n"/>
      <c r="D7" s="8" t="n"/>
      <c r="E7" s="8" t="n"/>
    </row>
    <row r="8">
      <c r="A8" s="6" t="inlineStr">
        <is>
          <t>Client / project</t>
        </is>
      </c>
      <c r="B8" s="7" t="inlineStr">
        <is>
          <t>DT ORAN</t>
        </is>
      </c>
      <c r="C8" s="8" t="n"/>
      <c r="D8" s="8" t="n"/>
      <c r="E8" s="8" t="n"/>
    </row>
    <row r="9">
      <c r="A9" s="6" t="inlineStr">
        <is>
          <t>Site type</t>
        </is>
      </c>
      <c r="B9" s="7" t="n"/>
      <c r="C9" s="8" t="n"/>
      <c r="D9" s="8" t="n"/>
      <c r="E9" s="8" t="n"/>
    </row>
    <row r="10">
      <c r="A10" s="6" t="inlineStr">
        <is>
          <t>Survey date</t>
        </is>
      </c>
      <c r="B10" s="7" t="n"/>
      <c r="C10" s="8" t="n"/>
      <c r="D10" s="8" t="n"/>
      <c r="E10" s="8" t="n"/>
    </row>
    <row r="11">
      <c r="A11" s="6" t="inlineStr">
        <is>
          <t>Surveyor (name, company, phone)</t>
        </is>
      </c>
      <c r="B11" s="7" t="n"/>
      <c r="C11" s="8" t="n"/>
      <c r="D11" s="8" t="n"/>
      <c r="E11" s="8" t="n"/>
    </row>
    <row r="12">
      <c r="A12" s="6" t="inlineStr">
        <is>
          <t>Site access contact (name, phone)</t>
        </is>
      </c>
      <c r="B12" s="9" t="n"/>
      <c r="C12" s="8" t="n"/>
      <c r="D12" s="8" t="n"/>
      <c r="E12" s="8" t="n"/>
    </row>
    <row r="13" ht="95" customHeight="1">
      <c r="A13" s="6" t="inlineStr">
        <is>
          <t>Access notes (keys, hours, bird nests / bee hives etc.)</t>
        </is>
      </c>
      <c r="B13" s="9" t="n"/>
      <c r="C13" s="8" t="n"/>
      <c r="D13" s="8" t="n"/>
      <c r="E13" s="8" t="n"/>
    </row>
    <row r="15">
      <c r="A15" s="4" t="inlineStr">
        <is>
          <t>2. SOLUTION (most important)</t>
        </is>
      </c>
      <c r="B15" s="5" t="n"/>
      <c r="C15" s="5" t="n"/>
      <c r="D15" s="5" t="n"/>
      <c r="E15" s="5" t="n"/>
    </row>
    <row r="16" ht="95" customHeight="1">
      <c r="A16" s="6" t="inlineStr">
        <is>
          <t>Description of planned solution</t>
        </is>
      </c>
      <c r="B16" s="7" t="n"/>
      <c r="C16" s="8" t="n"/>
      <c r="D16" s="8" t="n"/>
      <c r="E16" s="8" t="n"/>
    </row>
    <row r="17">
      <c r="A17" s="6" t="inlineStr">
        <is>
          <t>Swap type</t>
        </is>
      </c>
      <c r="B17" s="7" t="n"/>
      <c r="C17" s="8" t="n"/>
      <c r="D17" s="8" t="n"/>
      <c r="E17" s="8" t="n"/>
    </row>
    <row r="18">
      <c r="A18" s="6" t="inlineStr">
        <is>
          <t>Indoor cabinet</t>
        </is>
      </c>
      <c r="B18" s="9" t="n"/>
      <c r="C18" s="8" t="n"/>
      <c r="D18" s="8" t="n"/>
      <c r="E18" s="8" t="n"/>
    </row>
    <row r="19">
      <c r="A19" s="6" t="inlineStr">
        <is>
          <t>Outdoor cabinet</t>
        </is>
      </c>
      <c r="B19" s="9" t="n"/>
      <c r="C19" s="8" t="n"/>
      <c r="D19" s="8" t="n"/>
      <c r="E19" s="8" t="n"/>
    </row>
    <row r="20">
      <c r="A20" s="6" t="inlineStr">
        <is>
          <t>Special means (crane / cherry picker)</t>
        </is>
      </c>
      <c r="B20" s="7" t="n"/>
      <c r="C20" s="8" t="n"/>
      <c r="D20" s="8" t="n"/>
      <c r="E20" s="8" t="n"/>
    </row>
    <row r="21">
      <c r="A21" s="6" t="inlineStr">
        <is>
          <t>Swap duration</t>
        </is>
      </c>
      <c r="B21" s="9" t="n"/>
      <c r="C21" s="8" t="n"/>
      <c r="D21" s="8" t="n"/>
      <c r="E21" s="8" t="n"/>
    </row>
    <row r="22" ht="95" customHeight="1">
      <c r="A22" s="6" t="inlineStr">
        <is>
          <t>Civil / steel works needed? (describe)</t>
        </is>
      </c>
      <c r="B22" s="9" t="n"/>
      <c r="C22" s="8" t="n"/>
      <c r="D22" s="8" t="n"/>
      <c r="E22" s="8" t="n"/>
    </row>
    <row r="23" ht="95" customHeight="1">
      <c r="A23" s="6" t="inlineStr">
        <is>
          <t>Target configuration (sectors, bands, BB, antennas – summary)</t>
        </is>
      </c>
      <c r="B23" s="9" t="n"/>
      <c r="C23" s="8" t="n"/>
      <c r="D23" s="8" t="n"/>
      <c r="E23" s="8" t="n"/>
    </row>
    <row r="25">
      <c r="A25" s="4" t="inlineStr">
        <is>
          <t>3. NOKIA HW TO ORDER  (pick from list, enter quantity)</t>
        </is>
      </c>
      <c r="B25" s="5" t="n"/>
      <c r="C25" s="5" t="n"/>
      <c r="D25" s="5" t="n"/>
      <c r="E25" s="5" t="n"/>
    </row>
    <row r="26">
      <c r="A26" s="10" t="inlineStr">
        <is>
          <t>Pick item from list</t>
        </is>
      </c>
      <c r="B26" s="10" t="inlineStr">
        <is>
          <t>Part no. (auto)</t>
        </is>
      </c>
      <c r="C26" s="10" t="inlineStr">
        <is>
          <t>Qty</t>
        </is>
      </c>
      <c r="D26" s="10" t="inlineStr"/>
      <c r="E26" s="10" t="inlineStr">
        <is>
          <t>Notes</t>
        </is>
      </c>
    </row>
    <row r="27">
      <c r="A27" s="11" t="n"/>
      <c r="B27" s="12">
        <f>IFERROR(LEFT(A27,FIND(" – ",A27)-1),"")</f>
        <v/>
      </c>
      <c r="C27" s="13" t="n"/>
      <c r="D27" s="8" t="n"/>
      <c r="E27" s="8" t="n"/>
    </row>
    <row r="28">
      <c r="A28" s="11" t="n"/>
      <c r="B28" s="12">
        <f>IFERROR(LEFT(A28,FIND(" – ",A28)-1),"")</f>
        <v/>
      </c>
      <c r="C28" s="13" t="n"/>
      <c r="D28" s="8" t="n"/>
      <c r="E28" s="8" t="n"/>
    </row>
    <row r="29">
      <c r="A29" s="11" t="n"/>
      <c r="B29" s="12">
        <f>IFERROR(LEFT(A29,FIND(" – ",A29)-1),"")</f>
        <v/>
      </c>
      <c r="C29" s="13" t="n"/>
      <c r="D29" s="8" t="n"/>
      <c r="E29" s="8" t="n"/>
    </row>
    <row r="30">
      <c r="A30" s="11" t="n"/>
      <c r="B30" s="12">
        <f>IFERROR(LEFT(A30,FIND(" – ",A30)-1),"")</f>
        <v/>
      </c>
      <c r="C30" s="13" t="n"/>
      <c r="D30" s="8" t="n"/>
      <c r="E30" s="8" t="n"/>
    </row>
    <row r="31">
      <c r="A31" s="11" t="n"/>
      <c r="B31" s="12">
        <f>IFERROR(LEFT(A31,FIND(" – ",A31)-1),"")</f>
        <v/>
      </c>
      <c r="C31" s="13" t="n"/>
      <c r="D31" s="8" t="n"/>
      <c r="E31" s="8" t="n"/>
    </row>
    <row r="32">
      <c r="A32" s="11" t="n"/>
      <c r="B32" s="12">
        <f>IFERROR(LEFT(A32,FIND(" – ",A32)-1),"")</f>
        <v/>
      </c>
      <c r="C32" s="13" t="n"/>
      <c r="D32" s="8" t="n"/>
      <c r="E32" s="8" t="n"/>
    </row>
    <row r="33">
      <c r="A33" s="11" t="n"/>
      <c r="B33" s="12">
        <f>IFERROR(LEFT(A33,FIND(" – ",A33)-1),"")</f>
        <v/>
      </c>
      <c r="C33" s="13" t="n"/>
      <c r="D33" s="8" t="n"/>
      <c r="E33" s="8" t="n"/>
    </row>
    <row r="34">
      <c r="A34" s="11" t="n"/>
      <c r="B34" s="12">
        <f>IFERROR(LEFT(A34,FIND(" – ",A34)-1),"")</f>
        <v/>
      </c>
      <c r="C34" s="13" t="n"/>
      <c r="D34" s="8" t="n"/>
      <c r="E34" s="8" t="n"/>
    </row>
    <row r="35">
      <c r="A35" s="11" t="n"/>
      <c r="B35" s="12">
        <f>IFERROR(LEFT(A35,FIND(" – ",A35)-1),"")</f>
        <v/>
      </c>
      <c r="C35" s="13" t="n"/>
      <c r="D35" s="8" t="n"/>
      <c r="E35" s="8" t="n"/>
    </row>
    <row r="36">
      <c r="A36" s="11" t="n"/>
      <c r="B36" s="12">
        <f>IFERROR(LEFT(A36,FIND(" – ",A36)-1),"")</f>
        <v/>
      </c>
      <c r="C36" s="13" t="n"/>
      <c r="D36" s="8" t="n"/>
      <c r="E36" s="8" t="n"/>
    </row>
    <row r="37">
      <c r="A37" s="11" t="n"/>
      <c r="B37" s="12">
        <f>IFERROR(LEFT(A37,FIND(" – ",A37)-1),"")</f>
        <v/>
      </c>
      <c r="C37" s="13" t="n"/>
      <c r="D37" s="8" t="n"/>
      <c r="E37" s="8" t="n"/>
    </row>
    <row r="38">
      <c r="A38" s="11" t="n"/>
      <c r="B38" s="12">
        <f>IFERROR(LEFT(A38,FIND(" – ",A38)-1),"")</f>
        <v/>
      </c>
      <c r="C38" s="13" t="n"/>
      <c r="D38" s="8" t="n"/>
      <c r="E38" s="8" t="n"/>
    </row>
    <row r="39">
      <c r="A39" s="11" t="n"/>
      <c r="B39" s="12">
        <f>IFERROR(LEFT(A39,FIND(" – ",A39)-1),"")</f>
        <v/>
      </c>
      <c r="C39" s="13" t="n"/>
      <c r="D39" s="8" t="n"/>
      <c r="E39" s="8" t="n"/>
    </row>
    <row r="40">
      <c r="A40" s="11" t="n"/>
      <c r="B40" s="12">
        <f>IFERROR(LEFT(A40,FIND(" – ",A40)-1),"")</f>
        <v/>
      </c>
      <c r="C40" s="13" t="n"/>
      <c r="D40" s="8" t="n"/>
      <c r="E40" s="8" t="n"/>
    </row>
    <row r="41">
      <c r="A41" s="11" t="n"/>
      <c r="B41" s="12">
        <f>IFERROR(LEFT(A41,FIND(" – ",A41)-1),"")</f>
        <v/>
      </c>
      <c r="C41" s="13" t="n"/>
      <c r="D41" s="8" t="n"/>
      <c r="E41" s="8" t="n"/>
    </row>
    <row r="42">
      <c r="A42" s="11" t="n"/>
      <c r="B42" s="12">
        <f>IFERROR(LEFT(A42,FIND(" – ",A42)-1),"")</f>
        <v/>
      </c>
      <c r="C42" s="13" t="n"/>
      <c r="D42" s="8" t="n"/>
      <c r="E42" s="8" t="n"/>
    </row>
    <row r="43">
      <c r="A43" s="11" t="n"/>
      <c r="B43" s="12">
        <f>IFERROR(LEFT(A43,FIND(" – ",A43)-1),"")</f>
        <v/>
      </c>
      <c r="C43" s="13" t="n"/>
      <c r="D43" s="8" t="n"/>
      <c r="E43" s="8" t="n"/>
    </row>
    <row r="44">
      <c r="A44" s="11" t="n"/>
      <c r="B44" s="12">
        <f>IFERROR(LEFT(A44,FIND(" – ",A44)-1),"")</f>
        <v/>
      </c>
      <c r="C44" s="13" t="n"/>
      <c r="D44" s="8" t="n"/>
      <c r="E44" s="8" t="n"/>
    </row>
    <row r="45">
      <c r="A45" s="11" t="n"/>
      <c r="B45" s="12">
        <f>IFERROR(LEFT(A45,FIND(" – ",A45)-1),"")</f>
        <v/>
      </c>
      <c r="C45" s="13" t="n"/>
      <c r="D45" s="8" t="n"/>
      <c r="E45" s="8" t="n"/>
    </row>
    <row r="46">
      <c r="A46" s="11" t="n"/>
      <c r="B46" s="12">
        <f>IFERROR(LEFT(A46,FIND(" – ",A46)-1),"")</f>
        <v/>
      </c>
      <c r="C46" s="13" t="n"/>
      <c r="D46" s="8" t="n"/>
      <c r="E46" s="8" t="n"/>
    </row>
    <row r="47">
      <c r="A47" s="11" t="n"/>
      <c r="B47" s="12">
        <f>IFERROR(LEFT(A47,FIND(" – ",A47)-1),"")</f>
        <v/>
      </c>
      <c r="C47" s="13" t="n"/>
      <c r="D47" s="8" t="n"/>
      <c r="E47" s="8" t="n"/>
    </row>
    <row r="48">
      <c r="A48" s="11" t="n"/>
      <c r="B48" s="12">
        <f>IFERROR(LEFT(A48,FIND(" – ",A48)-1),"")</f>
        <v/>
      </c>
      <c r="C48" s="13" t="n"/>
      <c r="D48" s="8" t="n"/>
      <c r="E48" s="8" t="n"/>
    </row>
    <row r="49">
      <c r="A49" s="11" t="n"/>
      <c r="B49" s="12">
        <f>IFERROR(LEFT(A49,FIND(" – ",A49)-1),"")</f>
        <v/>
      </c>
      <c r="C49" s="13" t="n"/>
      <c r="D49" s="8" t="n"/>
      <c r="E49" s="8" t="n"/>
    </row>
    <row r="50">
      <c r="A50" s="11" t="n"/>
      <c r="B50" s="12">
        <f>IFERROR(LEFT(A50,FIND(" – ",A50)-1),"")</f>
        <v/>
      </c>
      <c r="C50" s="13" t="n"/>
      <c r="D50" s="8" t="n"/>
      <c r="E50" s="8" t="n"/>
    </row>
    <row r="51">
      <c r="A51" s="11" t="n"/>
      <c r="B51" s="12">
        <f>IFERROR(LEFT(A51,FIND(" – ",A51)-1),"")</f>
        <v/>
      </c>
      <c r="C51" s="13" t="n"/>
      <c r="D51" s="8" t="n"/>
      <c r="E51" s="8" t="n"/>
    </row>
    <row r="52">
      <c r="A52" s="11" t="n"/>
      <c r="B52" s="12">
        <f>IFERROR(LEFT(A52,FIND(" – ",A52)-1),"")</f>
        <v/>
      </c>
      <c r="C52" s="13" t="n"/>
      <c r="D52" s="8" t="n"/>
      <c r="E52" s="8" t="n"/>
    </row>
    <row r="53">
      <c r="A53" s="11" t="n"/>
      <c r="B53" s="12">
        <f>IFERROR(LEFT(A53,FIND(" – ",A53)-1),"")</f>
        <v/>
      </c>
      <c r="C53" s="13" t="n"/>
      <c r="D53" s="8" t="n"/>
      <c r="E53" s="8" t="n"/>
    </row>
    <row r="54">
      <c r="A54" s="11" t="n"/>
      <c r="B54" s="12">
        <f>IFERROR(LEFT(A54,FIND(" – ",A54)-1),"")</f>
        <v/>
      </c>
      <c r="C54" s="13" t="n"/>
      <c r="D54" s="8" t="n"/>
      <c r="E54" s="8" t="n"/>
    </row>
    <row r="55">
      <c r="A55" s="11" t="n"/>
      <c r="B55" s="12">
        <f>IFERROR(LEFT(A55,FIND(" – ",A55)-1),"")</f>
        <v/>
      </c>
      <c r="C55" s="13" t="n"/>
      <c r="D55" s="8" t="n"/>
      <c r="E55" s="8" t="n"/>
    </row>
    <row r="56">
      <c r="A56" s="11" t="n"/>
      <c r="B56" s="12">
        <f>IFERROR(LEFT(A56,FIND(" – ",A56)-1),"")</f>
        <v/>
      </c>
      <c r="C56" s="13" t="n"/>
      <c r="D56" s="8" t="n"/>
      <c r="E56" s="8" t="n"/>
    </row>
    <row r="58">
      <c r="A58" s="4" t="inlineStr">
        <is>
          <t>4. INSTALLATION MATERIALS (cables, jumpers, clamps)</t>
        </is>
      </c>
      <c r="B58" s="5" t="n"/>
      <c r="C58" s="5" t="n"/>
      <c r="D58" s="5" t="n"/>
      <c r="E58" s="5" t="n"/>
    </row>
    <row r="59">
      <c r="A59" s="10" t="inlineStr">
        <is>
          <t>Pick item from list</t>
        </is>
      </c>
      <c r="B59" s="10" t="inlineStr">
        <is>
          <t>Code (auto)</t>
        </is>
      </c>
      <c r="C59" s="10" t="inlineStr">
        <is>
          <t>Qty</t>
        </is>
      </c>
      <c r="D59" s="10" t="inlineStr"/>
      <c r="E59" s="10" t="inlineStr">
        <is>
          <t>Notes</t>
        </is>
      </c>
    </row>
    <row r="60">
      <c r="A60" s="11" t="n"/>
      <c r="B60" s="12">
        <f>IFERROR(LEFT(A60,FIND(" – ",A60)-1),"")</f>
        <v/>
      </c>
      <c r="C60" s="13" t="n"/>
      <c r="D60" s="8" t="n"/>
      <c r="E60" s="8" t="n"/>
    </row>
    <row r="61">
      <c r="A61" s="11" t="n"/>
      <c r="B61" s="12">
        <f>IFERROR(LEFT(A61,FIND(" – ",A61)-1),"")</f>
        <v/>
      </c>
      <c r="C61" s="13" t="n"/>
      <c r="D61" s="8" t="n"/>
      <c r="E61" s="8" t="n"/>
    </row>
    <row r="62">
      <c r="A62" s="11" t="n"/>
      <c r="B62" s="12">
        <f>IFERROR(LEFT(A62,FIND(" – ",A62)-1),"")</f>
        <v/>
      </c>
      <c r="C62" s="13" t="n"/>
      <c r="D62" s="8" t="n"/>
      <c r="E62" s="8" t="n"/>
    </row>
    <row r="63">
      <c r="A63" s="11" t="n"/>
      <c r="B63" s="12">
        <f>IFERROR(LEFT(A63,FIND(" – ",A63)-1),"")</f>
        <v/>
      </c>
      <c r="C63" s="13" t="n"/>
      <c r="D63" s="8" t="n"/>
      <c r="E63" s="8" t="n"/>
    </row>
    <row r="64">
      <c r="A64" s="11" t="n"/>
      <c r="B64" s="12">
        <f>IFERROR(LEFT(A64,FIND(" – ",A64)-1),"")</f>
        <v/>
      </c>
      <c r="C64" s="13" t="n"/>
      <c r="D64" s="8" t="n"/>
      <c r="E64" s="8" t="n"/>
    </row>
    <row r="65">
      <c r="A65" s="11" t="n"/>
      <c r="B65" s="12">
        <f>IFERROR(LEFT(A65,FIND(" – ",A65)-1),"")</f>
        <v/>
      </c>
      <c r="C65" s="13" t="n"/>
      <c r="D65" s="8" t="n"/>
      <c r="E65" s="8" t="n"/>
    </row>
    <row r="66">
      <c r="A66" s="11" t="n"/>
      <c r="B66" s="12">
        <f>IFERROR(LEFT(A66,FIND(" – ",A66)-1),"")</f>
        <v/>
      </c>
      <c r="C66" s="13" t="n"/>
      <c r="D66" s="8" t="n"/>
      <c r="E66" s="8" t="n"/>
    </row>
    <row r="67">
      <c r="A67" s="11" t="n"/>
      <c r="B67" s="12">
        <f>IFERROR(LEFT(A67,FIND(" – ",A67)-1),"")</f>
        <v/>
      </c>
      <c r="C67" s="13" t="n"/>
      <c r="D67" s="8" t="n"/>
      <c r="E67" s="8" t="n"/>
    </row>
    <row r="68">
      <c r="A68" s="11" t="n"/>
      <c r="B68" s="12">
        <f>IFERROR(LEFT(A68,FIND(" – ",A68)-1),"")</f>
        <v/>
      </c>
      <c r="C68" s="13" t="n"/>
      <c r="D68" s="8" t="n"/>
      <c r="E68" s="8" t="n"/>
    </row>
    <row r="69">
      <c r="A69" s="11" t="n"/>
      <c r="B69" s="12">
        <f>IFERROR(LEFT(A69,FIND(" – ",A69)-1),"")</f>
        <v/>
      </c>
      <c r="C69" s="13" t="n"/>
      <c r="D69" s="8" t="n"/>
      <c r="E69" s="8" t="n"/>
    </row>
    <row r="70">
      <c r="A70" s="11" t="n"/>
      <c r="B70" s="12">
        <f>IFERROR(LEFT(A70,FIND(" – ",A70)-1),"")</f>
        <v/>
      </c>
      <c r="C70" s="13" t="n"/>
      <c r="D70" s="8" t="n"/>
      <c r="E70" s="8" t="n"/>
    </row>
    <row r="71">
      <c r="A71" s="11" t="n"/>
      <c r="B71" s="12">
        <f>IFERROR(LEFT(A71,FIND(" – ",A71)-1),"")</f>
        <v/>
      </c>
      <c r="C71" s="13" t="n"/>
      <c r="D71" s="8" t="n"/>
      <c r="E71" s="8" t="n"/>
    </row>
    <row r="72">
      <c r="A72" s="11" t="n"/>
      <c r="B72" s="12">
        <f>IFERROR(LEFT(A72,FIND(" – ",A72)-1),"")</f>
        <v/>
      </c>
      <c r="C72" s="13" t="n"/>
      <c r="D72" s="8" t="n"/>
      <c r="E72" s="8" t="n"/>
    </row>
    <row r="73">
      <c r="A73" s="11" t="n"/>
      <c r="B73" s="12">
        <f>IFERROR(LEFT(A73,FIND(" – ",A73)-1),"")</f>
        <v/>
      </c>
      <c r="C73" s="13" t="n"/>
      <c r="D73" s="8" t="n"/>
      <c r="E73" s="8" t="n"/>
    </row>
    <row r="74">
      <c r="A74" s="11" t="n"/>
      <c r="B74" s="12">
        <f>IFERROR(LEFT(A74,FIND(" – ",A74)-1),"")</f>
        <v/>
      </c>
      <c r="C74" s="13" t="n"/>
      <c r="D74" s="8" t="n"/>
      <c r="E74" s="8" t="n"/>
    </row>
    <row r="75">
      <c r="A75" s="11" t="n"/>
      <c r="B75" s="12">
        <f>IFERROR(LEFT(A75,FIND(" – ",A75)-1),"")</f>
        <v/>
      </c>
      <c r="C75" s="13" t="n"/>
      <c r="D75" s="8" t="n"/>
      <c r="E75" s="8" t="n"/>
    </row>
    <row r="76">
      <c r="A76" s="11" t="n"/>
      <c r="B76" s="12">
        <f>IFERROR(LEFT(A76,FIND(" – ",A76)-1),"")</f>
        <v/>
      </c>
      <c r="C76" s="13" t="n"/>
      <c r="D76" s="8" t="n"/>
      <c r="E76" s="8" t="n"/>
    </row>
    <row r="77">
      <c r="A77" s="11" t="n"/>
      <c r="B77" s="12">
        <f>IFERROR(LEFT(A77,FIND(" – ",A77)-1),"")</f>
        <v/>
      </c>
      <c r="C77" s="13" t="n"/>
      <c r="D77" s="8" t="n"/>
      <c r="E77" s="8" t="n"/>
    </row>
    <row r="78">
      <c r="A78" s="11" t="n"/>
      <c r="B78" s="12">
        <f>IFERROR(LEFT(A78,FIND(" – ",A78)-1),"")</f>
        <v/>
      </c>
      <c r="C78" s="13" t="n"/>
      <c r="D78" s="8" t="n"/>
      <c r="E78" s="8" t="n"/>
    </row>
    <row r="79">
      <c r="A79" s="11" t="n"/>
      <c r="B79" s="12">
        <f>IFERROR(LEFT(A79,FIND(" – ",A79)-1),"")</f>
        <v/>
      </c>
      <c r="C79" s="13" t="n"/>
      <c r="D79" s="8" t="n"/>
      <c r="E79" s="8" t="n"/>
    </row>
    <row r="80">
      <c r="A80" s="11" t="n"/>
      <c r="B80" s="12">
        <f>IFERROR(LEFT(A80,FIND(" – ",A80)-1),"")</f>
        <v/>
      </c>
      <c r="C80" s="13" t="n"/>
      <c r="D80" s="8" t="n"/>
      <c r="E80" s="8" t="n"/>
    </row>
    <row r="81">
      <c r="A81" s="11" t="n"/>
      <c r="B81" s="12">
        <f>IFERROR(LEFT(A81,FIND(" – ",A81)-1),"")</f>
        <v/>
      </c>
      <c r="C81" s="13" t="n"/>
      <c r="D81" s="8" t="n"/>
      <c r="E81" s="8" t="n"/>
    </row>
    <row r="82">
      <c r="A82" s="11" t="n"/>
      <c r="B82" s="12">
        <f>IFERROR(LEFT(A82,FIND(" – ",A82)-1),"")</f>
        <v/>
      </c>
      <c r="C82" s="13" t="n"/>
      <c r="D82" s="8" t="n"/>
      <c r="E82" s="8" t="n"/>
    </row>
    <row r="83">
      <c r="A83" s="11" t="n"/>
      <c r="B83" s="12">
        <f>IFERROR(LEFT(A83,FIND(" – ",A83)-1),"")</f>
        <v/>
      </c>
      <c r="C83" s="13" t="n"/>
      <c r="D83" s="8" t="n"/>
      <c r="E83" s="8" t="n"/>
    </row>
    <row r="84">
      <c r="A84" s="11" t="n"/>
      <c r="B84" s="12">
        <f>IFERROR(LEFT(A84,FIND(" – ",A84)-1),"")</f>
        <v/>
      </c>
      <c r="C84" s="13" t="n"/>
      <c r="D84" s="8" t="n"/>
      <c r="E84" s="8" t="n"/>
    </row>
    <row r="86">
      <c r="A86" s="4" t="inlineStr">
        <is>
          <t>5. TO BE REMOVED (antennas, RRU, BTS – enter type and qty)</t>
        </is>
      </c>
      <c r="B86" s="5" t="n"/>
      <c r="C86" s="5" t="n"/>
      <c r="D86" s="5" t="n"/>
      <c r="E86" s="5" t="n"/>
    </row>
    <row r="87">
      <c r="A87" s="10" t="inlineStr">
        <is>
          <t>Item to remove</t>
        </is>
      </c>
      <c r="B87" s="10" t="inlineStr">
        <is>
          <t>Location / sector</t>
        </is>
      </c>
      <c r="C87" s="10" t="inlineStr">
        <is>
          <t>Qty</t>
        </is>
      </c>
      <c r="D87" s="10" t="inlineStr"/>
      <c r="E87" s="10" t="inlineStr">
        <is>
          <t>Notes</t>
        </is>
      </c>
    </row>
    <row r="88">
      <c r="A88" s="13" t="n"/>
      <c r="B88" s="8" t="n"/>
      <c r="C88" s="13" t="n"/>
      <c r="D88" s="8" t="n"/>
      <c r="E88" s="8" t="n"/>
    </row>
    <row r="89">
      <c r="A89" s="13" t="n"/>
      <c r="B89" s="8" t="n"/>
      <c r="C89" s="13" t="n"/>
      <c r="D89" s="8" t="n"/>
      <c r="E89" s="8" t="n"/>
    </row>
    <row r="90">
      <c r="A90" s="13" t="n"/>
      <c r="B90" s="8" t="n"/>
      <c r="C90" s="13" t="n"/>
      <c r="D90" s="8" t="n"/>
      <c r="E90" s="8" t="n"/>
    </row>
    <row r="91">
      <c r="A91" s="13" t="n"/>
      <c r="B91" s="8" t="n"/>
      <c r="C91" s="13" t="n"/>
      <c r="D91" s="8" t="n"/>
      <c r="E91" s="8" t="n"/>
    </row>
    <row r="92">
      <c r="A92" s="13" t="n"/>
      <c r="B92" s="8" t="n"/>
      <c r="C92" s="13" t="n"/>
      <c r="D92" s="8" t="n"/>
      <c r="E92" s="8" t="n"/>
    </row>
    <row r="93">
      <c r="A93" s="13" t="n"/>
      <c r="B93" s="8" t="n"/>
      <c r="C93" s="13" t="n"/>
      <c r="D93" s="8" t="n"/>
      <c r="E93" s="8" t="n"/>
    </row>
    <row r="94">
      <c r="A94" s="13" t="n"/>
      <c r="B94" s="8" t="n"/>
      <c r="C94" s="13" t="n"/>
      <c r="D94" s="8" t="n"/>
      <c r="E94" s="8" t="n"/>
    </row>
    <row r="95">
      <c r="A95" s="13" t="n"/>
      <c r="B95" s="8" t="n"/>
      <c r="C95" s="13" t="n"/>
      <c r="D95" s="8" t="n"/>
      <c r="E95" s="8" t="n"/>
    </row>
    <row r="96">
      <c r="A96" s="13" t="n"/>
      <c r="B96" s="8" t="n"/>
      <c r="C96" s="13" t="n"/>
      <c r="D96" s="8" t="n"/>
      <c r="E96" s="8" t="n"/>
    </row>
    <row r="97">
      <c r="A97" s="13" t="n"/>
      <c r="B97" s="8" t="n"/>
      <c r="C97" s="13" t="n"/>
      <c r="D97" s="8" t="n"/>
      <c r="E97" s="8" t="n"/>
    </row>
    <row r="98">
      <c r="A98" s="13" t="n"/>
      <c r="B98" s="8" t="n"/>
      <c r="C98" s="13" t="n"/>
      <c r="D98" s="8" t="n"/>
      <c r="E98" s="8" t="n"/>
    </row>
    <row r="99">
      <c r="A99" s="13" t="n"/>
      <c r="B99" s="8" t="n"/>
      <c r="C99" s="13" t="n"/>
      <c r="D99" s="8" t="n"/>
      <c r="E99" s="8" t="n"/>
    </row>
    <row r="100">
      <c r="A100" s="13" t="n"/>
      <c r="B100" s="8" t="n"/>
      <c r="C100" s="13" t="n"/>
      <c r="D100" s="8" t="n"/>
      <c r="E100" s="8" t="n"/>
    </row>
    <row r="101">
      <c r="A101" s="13" t="n"/>
      <c r="B101" s="8" t="n"/>
      <c r="C101" s="13" t="n"/>
      <c r="D101" s="8" t="n"/>
      <c r="E101" s="8" t="n"/>
    </row>
    <row r="102">
      <c r="A102" s="13" t="n"/>
      <c r="B102" s="8" t="n"/>
      <c r="C102" s="13" t="n"/>
      <c r="D102" s="8" t="n"/>
      <c r="E102" s="8" t="n"/>
    </row>
    <row r="104">
      <c r="A104" s="4" t="inlineStr">
        <is>
          <t>6. SAFETY AND POWER (brief)</t>
        </is>
      </c>
      <c r="B104" s="5" t="n"/>
      <c r="C104" s="5" t="n"/>
      <c r="D104" s="5" t="n"/>
      <c r="E104" s="5" t="n"/>
    </row>
    <row r="105">
      <c r="A105" s="6" t="inlineStr">
        <is>
          <t>Can the work be carried out safely?</t>
        </is>
      </c>
      <c r="B105" s="7" t="n"/>
      <c r="C105" s="8" t="n"/>
      <c r="D105" s="8" t="n"/>
      <c r="E105" s="8" t="n"/>
    </row>
    <row r="106">
      <c r="A106" s="6" t="inlineStr">
        <is>
          <t>Is a crane / cherry picker needed?</t>
        </is>
      </c>
      <c r="B106" s="7" t="n"/>
      <c r="C106" s="8" t="n"/>
      <c r="D106" s="8" t="n"/>
      <c r="E106" s="8" t="n"/>
    </row>
    <row r="107">
      <c r="A107" s="6" t="inlineStr">
        <is>
          <t>Is scaffolding needed?</t>
        </is>
      </c>
      <c r="B107" s="7" t="n"/>
      <c r="C107" s="8" t="n"/>
      <c r="D107" s="8" t="n"/>
      <c r="E107" s="8" t="n"/>
    </row>
    <row r="108">
      <c r="A108" s="6" t="inlineStr">
        <is>
          <t>Suspected asbestos / hazardous materials?</t>
        </is>
      </c>
      <c r="B108" s="7" t="n"/>
      <c r="C108" s="8" t="n"/>
      <c r="D108" s="8" t="n"/>
      <c r="E108" s="8" t="n"/>
    </row>
    <row r="109">
      <c r="A109" s="6" t="inlineStr">
        <is>
          <t>AC power increase / new breakers needed?</t>
        </is>
      </c>
      <c r="B109" s="7" t="n"/>
      <c r="C109" s="8" t="n"/>
      <c r="D109" s="8" t="n"/>
      <c r="E109" s="8" t="n"/>
    </row>
    <row r="110">
      <c r="A110" s="6" t="inlineStr">
        <is>
          <t>New rectifier / DCDU needed?</t>
        </is>
      </c>
      <c r="B110" s="7" t="n"/>
      <c r="C110" s="8" t="n"/>
      <c r="D110" s="8" t="n"/>
      <c r="E110" s="8" t="n"/>
    </row>
    <row r="111" ht="95" customHeight="1">
      <c r="A111" s="6" t="inlineStr">
        <is>
          <t>Power – current state and what is missing</t>
        </is>
      </c>
      <c r="B111" s="9" t="n"/>
      <c r="C111" s="8" t="n"/>
      <c r="D111" s="8" t="n"/>
      <c r="E111" s="8" t="n"/>
    </row>
    <row r="112" ht="95" customHeight="1">
      <c r="A112" s="6" t="inlineStr">
        <is>
          <t>Deficiencies / hazards / other remarks found</t>
        </is>
      </c>
      <c r="B112" s="9" t="n"/>
      <c r="C112" s="8" t="n"/>
      <c r="D112" s="8" t="n"/>
      <c r="E112" s="8" t="n"/>
    </row>
    <row r="114">
      <c r="A114" s="4" t="inlineStr">
        <is>
          <t>7. PHOTOS (separate, in a folder – do not paste here)</t>
        </is>
      </c>
      <c r="B114" s="5" t="n"/>
      <c r="C114" s="5" t="n"/>
      <c r="D114" s="5" t="n"/>
      <c r="E114" s="5" t="n"/>
    </row>
    <row r="115" ht="18" customHeight="1">
      <c r="A115" s="14" t="inlineStr">
        <is>
          <t>File naming:  SITECODE_01_general-view.jpg, SITECODE_02_access-road.jpg …</t>
        </is>
      </c>
    </row>
    <row r="116" ht="32" customHeight="1">
      <c r="A116" s="14" t="inlineStr">
        <is>
          <t>Minimum: view of the site and from the site, access road/entrance, cabinet/room, power (AC and DC), tower/roof at the antennas, each sector (antenna + RRU), cable routes, locations for new equipment.</t>
        </is>
      </c>
    </row>
    <row r="117" ht="18" customHeight="1">
      <c r="A117" s="14" t="inlineStr">
        <is>
          <t>Link to photo folder:</t>
        </is>
      </c>
    </row>
    <row r="118">
      <c r="A118" s="13" t="n"/>
    </row>
  </sheetData>
  <mergeCells count="60">
    <mergeCell ref="B108:E108"/>
    <mergeCell ref="B9:E9"/>
    <mergeCell ref="A35"/>
    <mergeCell ref="A53"/>
    <mergeCell ref="B6:E6"/>
    <mergeCell ref="A29"/>
    <mergeCell ref="A43"/>
    <mergeCell ref="A38"/>
    <mergeCell ref="A52"/>
    <mergeCell ref="B5:E5"/>
    <mergeCell ref="B20:E20"/>
    <mergeCell ref="A28"/>
    <mergeCell ref="A44"/>
    <mergeCell ref="A31"/>
    <mergeCell ref="B110:E110"/>
    <mergeCell ref="A34"/>
    <mergeCell ref="A40"/>
    <mergeCell ref="B4:E4"/>
    <mergeCell ref="A48"/>
    <mergeCell ref="B106:E106"/>
    <mergeCell ref="A30"/>
    <mergeCell ref="A39"/>
    <mergeCell ref="B16:E16"/>
    <mergeCell ref="B7:E7"/>
    <mergeCell ref="A49"/>
    <mergeCell ref="A51"/>
    <mergeCell ref="B109:E109"/>
    <mergeCell ref="A118:E118"/>
    <mergeCell ref="A33"/>
    <mergeCell ref="A36"/>
    <mergeCell ref="B22:E22"/>
    <mergeCell ref="A45"/>
    <mergeCell ref="B18:E18"/>
    <mergeCell ref="B105:E105"/>
    <mergeCell ref="B12:E12"/>
    <mergeCell ref="B21:E21"/>
    <mergeCell ref="A54"/>
    <mergeCell ref="B11:E11"/>
    <mergeCell ref="A116:E116"/>
    <mergeCell ref="A41"/>
    <mergeCell ref="B111:E111"/>
    <mergeCell ref="B107:E107"/>
    <mergeCell ref="A37"/>
    <mergeCell ref="A46"/>
    <mergeCell ref="A27"/>
    <mergeCell ref="B17:E17"/>
    <mergeCell ref="B23:E23"/>
    <mergeCell ref="B8:E8"/>
    <mergeCell ref="A50"/>
    <mergeCell ref="A56"/>
    <mergeCell ref="B13:E13"/>
    <mergeCell ref="A55"/>
    <mergeCell ref="B112:E112"/>
    <mergeCell ref="A115:E115"/>
    <mergeCell ref="A117:E117"/>
    <mergeCell ref="B19:E19"/>
    <mergeCell ref="A42"/>
    <mergeCell ref="B10:E10"/>
    <mergeCell ref="A47"/>
    <mergeCell ref="A32"/>
  </mergeCells>
  <conditionalFormatting sqref="E1">
    <cfRule type="expression" priority="1" dxfId="0">
      <formula>LEFT($E$1,1)="✔"</formula>
    </cfRule>
    <cfRule type="expression" priority="2" dxfId="1">
      <formula>LEFT($E$1,1)&lt;&gt;"✔"</formula>
    </cfRule>
  </conditionalFormatting>
  <dataValidations count="14">
    <dataValidation sqref="B9" showDropDown="0" showInputMessage="0" showErrorMessage="0" allowBlank="1" type="list">
      <formula1>=Katalog!$G$2:$G$6</formula1>
    </dataValidation>
    <dataValidation sqref="B17" showDropDown="0" showInputMessage="0" showErrorMessage="0" allowBlank="1" type="list">
      <formula1>=Katalog!$B$2:$B$4</formula1>
    </dataValidation>
    <dataValidation sqref="B18" showDropDown="0" showInputMessage="0" showErrorMessage="0" allowBlank="1" type="list">
      <formula1>=Katalog!$C$2:$C$6</formula1>
    </dataValidation>
    <dataValidation sqref="B19" showDropDown="0" showInputMessage="0" showErrorMessage="0" allowBlank="1" type="list">
      <formula1>=Katalog!$D$2:$D$5</formula1>
    </dataValidation>
    <dataValidation sqref="B20" showDropDown="0" showInputMessage="0" showErrorMessage="0" allowBlank="1" type="list">
      <formula1>=Katalog!$E$2:$E$5</formula1>
    </dataValidation>
    <dataValidation sqref="B21" showDropDown="0" showInputMessage="0" showErrorMessage="0" allowBlank="1" type="list">
      <formula1>=Katalog!$F$2:$F$5</formula1>
    </dataValidation>
    <dataValidation sqref="A27 A28 A29 A30 A31 A32 A33 A34 A35 A36 A37 A38 A39 A40 A41 A42 A43 A44 A45 A46 A47 A48 A49 A50 A51 A52 A53 A54 A55 A56" showDropDown="0" showInputMessage="0" showErrorMessage="0" allowBlank="1" type="list">
      <formula1>=Katalog!$I$2:$I$106</formula1>
    </dataValidation>
    <dataValidation sqref="A60 A61 A62 A63 A64 A65 A66 A67 A68 A69 A70 A71 A72 A73 A74 A75 A76 A77 A78 A79 A80 A81 A82 A83 A84" showDropDown="0" showInputMessage="0" showErrorMessage="0" allowBlank="1" type="list">
      <formula1>=Katalog!$J$2:$J$91</formula1>
    </dataValidation>
    <dataValidation sqref="B105" showDropDown="0" showInputMessage="0" showErrorMessage="0" allowBlank="1" type="list">
      <formula1>=Katalog!$A$2:$A$3</formula1>
    </dataValidation>
    <dataValidation sqref="B106" showDropDown="0" showInputMessage="0" showErrorMessage="0" allowBlank="1" type="list">
      <formula1>=Katalog!$A$2:$A$3</formula1>
    </dataValidation>
    <dataValidation sqref="B107" showDropDown="0" showInputMessage="0" showErrorMessage="0" allowBlank="1" type="list">
      <formula1>=Katalog!$A$2:$A$3</formula1>
    </dataValidation>
    <dataValidation sqref="B108" showDropDown="0" showInputMessage="0" showErrorMessage="0" allowBlank="1" type="list">
      <formula1>=Katalog!$A$2:$A$3</formula1>
    </dataValidation>
    <dataValidation sqref="B109" showDropDown="0" showInputMessage="0" showErrorMessage="0" allowBlank="1" type="list">
      <formula1>=Katalog!$A$2:$A$3</formula1>
    </dataValidation>
    <dataValidation sqref="B110" showDropDown="0" showInputMessage="0" showErrorMessage="0" allowBlank="1" type="list">
      <formula1>=Katalog!$A$2:$A$3</formula1>
    </dataValidation>
  </dataValidations>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cols>
    <col width="10" customWidth="1" min="1" max="1"/>
    <col width="14" customWidth="1" min="2" max="2"/>
    <col width="28" customWidth="1" min="3" max="3"/>
    <col width="14" customWidth="1" min="4" max="4"/>
    <col width="28" customWidth="1" min="5" max="5"/>
    <col width="10" customWidth="1" min="6" max="6"/>
    <col width="14" customWidth="1" min="7" max="7"/>
    <col width="70" customWidth="1" min="9" max="9"/>
    <col width="70" customWidth="1" min="10" max="10"/>
  </cols>
  <sheetData>
    <row r="1">
      <c r="A1" s="2" t="inlineStr">
        <is>
          <t>YES/NO</t>
        </is>
      </c>
      <c r="B1" s="2" t="inlineStr">
        <is>
          <t>Swap type</t>
        </is>
      </c>
      <c r="C1" s="2" t="inlineStr">
        <is>
          <t>Indoor cabinet / rack</t>
        </is>
      </c>
      <c r="D1" s="2" t="inlineStr">
        <is>
          <t>Outdoor cabinet</t>
        </is>
      </c>
      <c r="E1" s="2" t="inlineStr">
        <is>
          <t>Special means</t>
        </is>
      </c>
      <c r="F1" s="2" t="inlineStr">
        <is>
          <t>Duration</t>
        </is>
      </c>
      <c r="G1" s="2" t="inlineStr">
        <is>
          <t>Site type</t>
        </is>
      </c>
      <c r="I1" s="2" t="inlineStr">
        <is>
          <t>Nokia HW (PN – description)</t>
        </is>
      </c>
      <c r="J1" s="2" t="inlineStr">
        <is>
          <t>Installation materials (code – description)</t>
        </is>
      </c>
    </row>
    <row r="2">
      <c r="A2" t="inlineStr">
        <is>
          <t>YES</t>
        </is>
      </c>
      <c r="B2" t="inlineStr">
        <is>
          <t>Cold Swap</t>
        </is>
      </c>
      <c r="C2" t="inlineStr">
        <is>
          <t>Reuse 19"</t>
        </is>
      </c>
      <c r="D2" t="inlineStr">
        <is>
          <t>AAOB</t>
        </is>
      </c>
      <c r="E2" t="inlineStr">
        <is>
          <t>None</t>
        </is>
      </c>
      <c r="F2" t="inlineStr">
        <is>
          <t>1/2 day</t>
        </is>
      </c>
      <c r="G2" t="inlineStr">
        <is>
          <t>Tower</t>
        </is>
      </c>
      <c r="I2" t="inlineStr">
        <is>
          <t>473098A – AMIA AirScale Subrack</t>
        </is>
      </c>
      <c r="J2" t="inlineStr">
        <is>
          <t>6000041629 – 12 fibers into the OMC, SM, pre-assembled at both ends, 10m</t>
        </is>
      </c>
    </row>
    <row r="3">
      <c r="A3" t="inlineStr">
        <is>
          <t>NO</t>
        </is>
      </c>
      <c r="B3" t="inlineStr">
        <is>
          <t>Hot Swap</t>
        </is>
      </c>
      <c r="C3" t="inlineStr">
        <is>
          <t>Vertiv Indoor Rack 4x 8U</t>
        </is>
      </c>
      <c r="D3" t="inlineStr">
        <is>
          <t>Vertiv 1m (1)</t>
        </is>
      </c>
      <c r="E3" t="inlineStr">
        <is>
          <t>Cherry Picker up to 45 m</t>
        </is>
      </c>
      <c r="F3" t="inlineStr">
        <is>
          <t>1 day</t>
        </is>
      </c>
      <c r="G3" t="inlineStr">
        <is>
          <t>Rooftop</t>
        </is>
      </c>
      <c r="I3" t="inlineStr">
        <is>
          <t>473XXXA – AAOB 1m cabinet solution, w/out AC/DC</t>
        </is>
      </c>
      <c r="J3" t="inlineStr">
        <is>
          <t>6000041630 – 12 fibers into the OMC, SM, pre-assembled at both ends, 20m</t>
        </is>
      </c>
    </row>
    <row r="4">
      <c r="B4" t="inlineStr">
        <is>
          <t>Other (describe)</t>
        </is>
      </c>
      <c r="C4" t="inlineStr">
        <is>
          <t>Vertiv 2m</t>
        </is>
      </c>
      <c r="D4" t="inlineStr">
        <is>
          <t>Vertiv 1m (2)</t>
        </is>
      </c>
      <c r="E4" t="inlineStr">
        <is>
          <t>Cherry Picker over 45 m</t>
        </is>
      </c>
      <c r="F4" t="inlineStr">
        <is>
          <t>2 days</t>
        </is>
      </c>
      <c r="G4" t="inlineStr">
        <is>
          <t>Mast</t>
        </is>
      </c>
      <c r="I4" t="inlineStr">
        <is>
          <t>473096A – ABIA AirScale Capacity</t>
        </is>
      </c>
      <c r="J4" t="inlineStr">
        <is>
          <t>6000041631 – 12 fibers into the OMC, SM, pre-assembled at both ends, 30m</t>
        </is>
      </c>
    </row>
    <row r="5">
      <c r="C5" t="inlineStr">
        <is>
          <t>Delta Infrarack OD 2020</t>
        </is>
      </c>
      <c r="D5" t="inlineStr">
        <is>
          <t>None</t>
        </is>
      </c>
      <c r="E5" t="inlineStr">
        <is>
          <t>Crane over 45 t</t>
        </is>
      </c>
      <c r="F5" t="inlineStr">
        <is>
          <t>More</t>
        </is>
      </c>
      <c r="G5" t="inlineStr">
        <is>
          <t>Indoor</t>
        </is>
      </c>
      <c r="I5" t="inlineStr">
        <is>
          <t>475266A – ABIO AirScale Capacity 2023</t>
        </is>
      </c>
      <c r="J5" t="inlineStr">
        <is>
          <t>6000041632 – 12 fibers into the OMC, SM, pre-assembled at both ends, 40m</t>
        </is>
      </c>
    </row>
    <row r="6">
      <c r="C6" t="inlineStr">
        <is>
          <t>None</t>
        </is>
      </c>
      <c r="G6" t="inlineStr">
        <is>
          <t>Other</t>
        </is>
      </c>
      <c r="I6" t="inlineStr">
        <is>
          <t>474824A – ABIN AirScale Capacity</t>
        </is>
      </c>
      <c r="J6" t="inlineStr">
        <is>
          <t>6000041633 – 12 fibers into the OMC, SM, pre-assembled at both ends, 50m</t>
        </is>
      </c>
    </row>
    <row r="7">
      <c r="I7" t="inlineStr">
        <is>
          <t>474767A – ASIL AirScale Common</t>
        </is>
      </c>
      <c r="J7" t="inlineStr">
        <is>
          <t>6000041634 – 12 fibers into the OMC, SM, pre-assembled at both ends, 60m</t>
        </is>
      </c>
    </row>
    <row r="8">
      <c r="I8" t="inlineStr">
        <is>
          <t>473764A – ASIB AirScale Common</t>
        </is>
      </c>
      <c r="J8" t="inlineStr">
        <is>
          <t>6000041635 – 12 fibers into the OMC, SM, pre-assembled at both ends, 70m</t>
        </is>
      </c>
    </row>
    <row r="9">
      <c r="I9" t="inlineStr">
        <is>
          <t>475587A – ASOE AirScale Outdoor Core</t>
        </is>
      </c>
      <c r="J9" t="inlineStr">
        <is>
          <t>6000041636 – 12 fibers into the OMC, SM, pre-assembled at both ends, 80m</t>
        </is>
      </c>
    </row>
    <row r="10">
      <c r="I10" t="inlineStr">
        <is>
          <t>475815A – AMJA outdoor cable entry for ASOE</t>
        </is>
      </c>
      <c r="J10" t="inlineStr">
        <is>
          <t>6000041637 – 12 fibers into the OMC, SM, pre-assembled at both ends, 90m</t>
        </is>
      </c>
    </row>
    <row r="11">
      <c r="I11" t="inlineStr">
        <is>
          <t>475707A – AHPMDD AirScale RRH 2T4R B8/20/28 320W</t>
        </is>
      </c>
      <c r="J11" t="inlineStr">
        <is>
          <t>6000041638 – 12 fibers into the OMC, SM, pre-assembled at both ends, 100m</t>
        </is>
      </c>
    </row>
    <row r="12">
      <c r="I12" t="inlineStr">
        <is>
          <t>476122A – AHPMDG 700/800/900 eCPRI AirScale RRH 2T4R B8/20/28</t>
        </is>
      </c>
      <c r="J12" t="inlineStr">
        <is>
          <t>6000041667 – 12 fibers into the OMC, SM, pre-assembled at both ends, 125m</t>
        </is>
      </c>
    </row>
    <row r="13">
      <c r="I13" t="inlineStr">
        <is>
          <t>474252A – AHHB AirScale RRH 4T4R B7 160W</t>
        </is>
      </c>
      <c r="J13" t="inlineStr">
        <is>
          <t>6000041668 – 12 fibers into the OMC, SM, pre-assembled at both ends, 150m</t>
        </is>
      </c>
    </row>
    <row r="14">
      <c r="I14" t="inlineStr">
        <is>
          <t>476356A – OFEGSA ORU FJT RRH 4T4R B1/3/75 320W</t>
        </is>
      </c>
      <c r="J14" t="inlineStr">
        <is>
          <t>6000041669 – 12 fibers into the OMC, SM, pre-assembled at both ends, 175m</t>
        </is>
      </c>
    </row>
    <row r="15">
      <c r="I15" t="inlineStr">
        <is>
          <t>476123A – AHEGG AirScale Dual RRH 4T4R B1/3 xx0W eCPRI</t>
        </is>
      </c>
      <c r="J15" t="inlineStr">
        <is>
          <t>6000041670 – 12 fibers into the OMC, SM, pre-assembled at both ends, 200m</t>
        </is>
      </c>
    </row>
    <row r="16">
      <c r="I16" t="inlineStr">
        <is>
          <t>475825A – AHEGF AirScale Dual RRH 4T4R B1/3 400W</t>
        </is>
      </c>
      <c r="J16" t="inlineStr">
        <is>
          <t>6000048972 – 24 fibers into the OMC, SM, pre-assembled at both ends, 10m</t>
        </is>
      </c>
    </row>
    <row r="17">
      <c r="I17" t="inlineStr">
        <is>
          <t xml:space="preserve">475788A – AQQQ AirScale MAA 32T32R 128AE n78 240W </t>
        </is>
      </c>
      <c r="J17" t="inlineStr">
        <is>
          <t>6000048974 – 24 fibers into the OMC, SM, pre-assembled at both ends, 20m</t>
        </is>
      </c>
    </row>
    <row r="18">
      <c r="I18" t="inlineStr">
        <is>
          <t xml:space="preserve">475544A – AQQE AirScale MAA 64T64R 192AE n78 320W </t>
        </is>
      </c>
      <c r="J18" t="inlineStr">
        <is>
          <t>6000048976 – 24 fibers into the OMC, SM, pre-assembled at both ends, 30m</t>
        </is>
      </c>
    </row>
    <row r="19">
      <c r="I19" t="inlineStr">
        <is>
          <t>476231A – AVQQ AirScale MAA 32T32R xxx n78 xxWatt</t>
        </is>
      </c>
      <c r="J19" t="inlineStr">
        <is>
          <t>6000048978 – 24 fibers into the OMC, SM, pre-assembled at both ends, 40m</t>
        </is>
      </c>
    </row>
    <row r="20">
      <c r="I20" t="inlineStr">
        <is>
          <t>475976A – AVQE AirScale MAA 64T64R xxxAE n78 xxW</t>
        </is>
      </c>
      <c r="J20" t="inlineStr">
        <is>
          <t>6000048980 – 24 fibers into the OMC, SM, pre-assembled at both ends, 50m</t>
        </is>
      </c>
    </row>
    <row r="21">
      <c r="I21" t="inlineStr">
        <is>
          <t>475338A – AOSI 10G SFP+ 1310nm 1.4km SM I-temp</t>
        </is>
      </c>
      <c r="J21" t="inlineStr">
        <is>
          <t>6000048982 – 24 fibers into the OMC, SM, pre-assembled at both ends, 60m</t>
        </is>
      </c>
    </row>
    <row r="22">
      <c r="I22" t="inlineStr">
        <is>
          <t>475336A – AOME 10G SFP+ 850nm 300m MM I-temp</t>
        </is>
      </c>
      <c r="J22" t="inlineStr">
        <is>
          <t>6000048984 – 24 fibers into the OMC, SM, pre-assembled at both ends, 70m</t>
        </is>
      </c>
    </row>
    <row r="23">
      <c r="I23" t="inlineStr">
        <is>
          <t>474900A – AOMC SFP28 70m MM I-temp RS</t>
        </is>
      </c>
      <c r="J23" t="inlineStr">
        <is>
          <t>6000048986 – 24 fibers into the OMC, SM, pre-assembled at both ends, 80m</t>
        </is>
      </c>
    </row>
    <row r="24">
      <c r="I24" t="inlineStr">
        <is>
          <t>475151A – AOPC SFP Weatherproofing Boot Kit</t>
        </is>
      </c>
      <c r="J24" t="inlineStr">
        <is>
          <t>6000048987 – 24 fibers into the OMC, SM, pre-assembled at both ends, 90m</t>
        </is>
      </c>
    </row>
    <row r="25">
      <c r="I25" t="inlineStr">
        <is>
          <t>474900A – AOMC SFP28 70m MM I-temp RS</t>
        </is>
      </c>
      <c r="J25" t="inlineStr">
        <is>
          <t>6000048988 – 24 fibers into the OMC, SM, pre-assembled at both ends, 100m</t>
        </is>
      </c>
    </row>
    <row r="26">
      <c r="I26" t="inlineStr">
        <is>
          <t>474901A – AOSC SFP28 2Km SM I-temp RS</t>
        </is>
      </c>
      <c r="J26" t="inlineStr">
        <is>
          <t>6000048990 – 24 fibers into the OMC, SM, pre-assembled at both ends, 125m</t>
        </is>
      </c>
    </row>
    <row r="27">
      <c r="I27" t="inlineStr">
        <is>
          <t xml:space="preserve">  475007A  – ATBL OD OM3 LC OD-LC ID dual 0,6M</t>
        </is>
      </c>
      <c r="J27" t="inlineStr">
        <is>
          <t>6000048991 – 24 fibers into the OMC, SM, pre-assembled at both ends, 150m</t>
        </is>
      </c>
    </row>
    <row r="28">
      <c r="I28" t="inlineStr">
        <is>
          <t>475190A – ATCI SM OD fiber Q-LC OD-LC ID dual 5m</t>
        </is>
      </c>
      <c r="J28" t="inlineStr">
        <is>
          <t>6000049004 – 24 fibers into the OMC, SM, pre-assembled at both ends, 175m</t>
        </is>
      </c>
    </row>
    <row r="29">
      <c r="I29" t="inlineStr">
        <is>
          <t>474462A – AUFE SM OD fiber LC ID-LC ID dual 5m</t>
        </is>
      </c>
      <c r="J29" t="inlineStr">
        <is>
          <t>6000048992 – 24 fibers into the OMC, SM, pre-assembled at both ends, 200m</t>
        </is>
      </c>
    </row>
    <row r="30">
      <c r="I30" t="inlineStr">
        <is>
          <t>474281A – APPA AirScale2  26A  DC plug 3.3-6 mm2</t>
        </is>
      </c>
      <c r="J30" t="inlineStr">
        <is>
          <t>5000040618 – Top Optical Box 12 fiber termination points (RTF-2951/12SM)</t>
        </is>
      </c>
    </row>
    <row r="31">
      <c r="I31" t="inlineStr">
        <is>
          <t>474282A – APPB AirScale2  55A  DC plug 3.3-10 mm2</t>
        </is>
      </c>
      <c r="J31" t="inlineStr">
        <is>
          <t>6000044112 – Top Optical Box 36 fiber termination points (RTF-4754/36SM)</t>
        </is>
      </c>
    </row>
    <row r="32">
      <c r="I32" t="inlineStr">
        <is>
          <t>474283A – APPC AirScale2 55A DC plug 10-16 mm2</t>
        </is>
      </c>
      <c r="J32" t="inlineStr">
        <is>
          <t>6000050421 – Top Optical Box SM 48 fiber termination points (RTF-3606/48SM)</t>
        </is>
      </c>
    </row>
    <row r="33">
      <c r="I33" t="inlineStr">
        <is>
          <t>475401A – APPG AirScale2 70A DC plug 10-16 mm2</t>
        </is>
      </c>
      <c r="J33" t="inlineStr">
        <is>
          <t>6000041464 – CTB for 19" rack installation, 24 DLC adaptors (RTF-7942/24SM)</t>
        </is>
      </c>
    </row>
    <row r="34">
      <c r="I34" t="inlineStr">
        <is>
          <t>473280A – FUFAK SM ID Fiber LC ID - LC ID dual 2 m</t>
        </is>
      </c>
      <c r="J34" t="inlineStr">
        <is>
          <t>6000041603 – PTTA Box solution for Rollout (RTP-3762)</t>
        </is>
      </c>
    </row>
    <row r="35">
      <c r="I35" t="inlineStr">
        <is>
          <t>474462A – AUFE SM OD fiber LC ID-LC ID dual 5m</t>
        </is>
      </c>
      <c r="J35" t="inlineStr">
        <is>
          <t>5000041385 – PTTA patch for 20 DC circuits (20 x up to 30A) up to 35mm2</t>
        </is>
      </c>
    </row>
    <row r="36">
      <c r="I36" t="inlineStr">
        <is>
          <t xml:space="preserve">475685A – ATMI OM3 OD fiber LC ODv2-LC ID dual 5m </t>
        </is>
      </c>
      <c r="J36" t="inlineStr">
        <is>
          <t>6000042618 – CU shielded cable 6x2x6mm² version; 10m</t>
        </is>
      </c>
    </row>
    <row r="37">
      <c r="I37" t="inlineStr">
        <is>
          <t>474192A – FPWI FZ ID Power Adapter EU</t>
        </is>
      </c>
      <c r="J37" t="inlineStr">
        <is>
          <t>6000042620 – CU shielded cable 6x2x6mm² version; 20m</t>
        </is>
      </c>
    </row>
    <row r="38">
      <c r="I38" t="inlineStr">
        <is>
          <t>471408A – FTCR OD Cable RJ45 CAT5E 15m</t>
        </is>
      </c>
      <c r="J38" t="inlineStr">
        <is>
          <t>6000042621 – CU shielded cable 6x2x6mm² version; 30m</t>
        </is>
      </c>
    </row>
    <row r="39">
      <c r="I39" t="inlineStr">
        <is>
          <t>475011A – ATBP OD OM3 LC ID-LC OD dual 40M</t>
        </is>
      </c>
      <c r="J39" t="inlineStr">
        <is>
          <t>6000042623 – CU shielded cable 6x2x6mm² version; 40m</t>
        </is>
      </c>
    </row>
    <row r="40">
      <c r="I40" t="inlineStr">
        <is>
          <t>472347A – FTCW OD Cable RJ45-RJ45 CAT5E 4m</t>
        </is>
      </c>
      <c r="J40" t="inlineStr">
        <is>
          <t>6000042624 – CU shielded cable 6x2x6mm² version; 50m</t>
        </is>
      </c>
    </row>
    <row r="41">
      <c r="I41" t="inlineStr">
        <is>
          <t>476360A – ASAM EAC cable 19PIN - peeled end 2,5m</t>
        </is>
      </c>
      <c r="J41" t="inlineStr">
        <is>
          <t>6000042626 – CU shielded cable 6x2x6mm² version; 60m</t>
        </is>
      </c>
    </row>
    <row r="42">
      <c r="I42" t="inlineStr">
        <is>
          <t>476359A – ASAL EAC cable 19PIN - peeled end 10m</t>
        </is>
      </c>
      <c r="J42" t="inlineStr">
        <is>
          <t>6000046773 – CU shielded cable 6x2x6mm² version; 70m</t>
        </is>
      </c>
    </row>
    <row r="43">
      <c r="I43" t="inlineStr">
        <is>
          <t>476394A – ASAN EAC cable 19PIN - peeled end 50m</t>
        </is>
      </c>
      <c r="J43" t="inlineStr">
        <is>
          <t>6000042625 – CU shielded cable 6x2x10mm² version; 70m</t>
        </is>
      </c>
    </row>
    <row r="44">
      <c r="I44" t="inlineStr">
        <is>
          <t>AUX-01 – Auxillary Baseband Single Mode</t>
        </is>
      </c>
      <c r="J44" t="inlineStr">
        <is>
          <t>6000042622 – CU shielded cable 6x2x10mm² version; 80m</t>
        </is>
      </c>
    </row>
    <row r="45">
      <c r="I45" t="inlineStr">
        <is>
          <t>AUX-02 – Auxillary RRH</t>
        </is>
      </c>
      <c r="J45" t="inlineStr">
        <is>
          <t>6000042619 – CU shielded cable 6x2x10mm² version; 90m</t>
        </is>
      </c>
    </row>
    <row r="46">
      <c r="I46" t="inlineStr">
        <is>
          <t>AUX-03 – Auxillary Active Antenna</t>
        </is>
      </c>
      <c r="J46" t="inlineStr">
        <is>
          <t>6000042616 – CU shielded cable 6x2x10mm² version; 100m</t>
        </is>
      </c>
    </row>
    <row r="47">
      <c r="I47" t="inlineStr">
        <is>
          <t>472509A – FTSF Sync Cable F</t>
        </is>
      </c>
      <c r="J47" t="inlineStr">
        <is>
          <t>6000042612 – CU shielded cable 3x2x16mm² version; 100m</t>
        </is>
      </c>
    </row>
    <row r="48">
      <c r="I48" t="inlineStr">
        <is>
          <t>CS7136001 – FPFH Flexi Power Distribution Module</t>
        </is>
      </c>
      <c r="J48" t="inlineStr">
        <is>
          <t>6000042613 – CU shielded cable 3x2x16mm² version; 125m</t>
        </is>
      </c>
    </row>
    <row r="49">
      <c r="I49" t="inlineStr">
        <is>
          <t>CS7136004 – Air Scale Indoor PDU with  SPD</t>
        </is>
      </c>
      <c r="J49" t="inlineStr">
        <is>
          <t>6000042614 – CU shielded cable 3x2x16mm² version; 150m</t>
        </is>
      </c>
    </row>
    <row r="50">
      <c r="I50" t="inlineStr">
        <is>
          <t>CS7136005 – Air Scale Indoor PDU Cable Kit</t>
        </is>
      </c>
      <c r="J50" t="inlineStr">
        <is>
          <t>6000042615 – CU shielded cable 3x2x16mm² version; 175m</t>
        </is>
      </c>
    </row>
    <row r="51">
      <c r="I51" t="inlineStr">
        <is>
          <t>CS7136006 – Air Scale Indoor PDU Splice Kit</t>
        </is>
      </c>
      <c r="J51" t="inlineStr">
        <is>
          <t>6000042617 – CU shielded cable 3x2x16mm² version; 200m</t>
        </is>
      </c>
    </row>
    <row r="52">
      <c r="I52" t="inlineStr">
        <is>
          <t>CS7136007 – ACDC Converter</t>
        </is>
      </c>
      <c r="J52" t="inlineStr">
        <is>
          <t xml:space="preserve">CS80063.36 – DC Jumper 2x6mm² </t>
        </is>
      </c>
    </row>
    <row r="53">
      <c r="I53" t="inlineStr">
        <is>
          <t>471649A – FPKA Flexi Pole Kit</t>
        </is>
      </c>
      <c r="J53" t="inlineStr">
        <is>
          <t>1000043720 – OX C / 1 x 34</t>
        </is>
      </c>
    </row>
    <row r="54">
      <c r="I54" t="inlineStr">
        <is>
          <t>472821A – FPKC Flexi Pole Kit</t>
        </is>
      </c>
      <c r="J54" t="inlineStr">
        <is>
          <t>1000044329 – OX C / 2 x 34</t>
        </is>
      </c>
    </row>
    <row r="55">
      <c r="I55" t="inlineStr">
        <is>
          <t>475188A – AMPF bracket 20 degree tilt</t>
        </is>
      </c>
      <c r="J55" t="inlineStr">
        <is>
          <t>1000047625 – OX C/1x34+SAT M 12x2</t>
        </is>
      </c>
    </row>
    <row r="56">
      <c r="I56" t="inlineStr">
        <is>
          <t>475648A – AMPI MAA bracket 30 tilt +90 azimuth</t>
        </is>
      </c>
      <c r="J56" t="inlineStr">
        <is>
          <t>1000047626 – OX C/2x34+SAT M 12x2</t>
        </is>
      </c>
    </row>
    <row r="57">
      <c r="I57" t="inlineStr">
        <is>
          <t>474583A – AMRC AirScale one clip rail 600mm</t>
        </is>
      </c>
      <c r="J57" t="inlineStr">
        <is>
          <t>1000047627 – OX C/SAT M 12x2</t>
        </is>
      </c>
    </row>
    <row r="58">
      <c r="I58" t="inlineStr">
        <is>
          <t>473879A – AMPA Pole Mounting Kit (30mm to 120mm)</t>
        </is>
      </c>
      <c r="J58" t="inlineStr">
        <is>
          <t>1000044491 – sRF C /1x14+1x9</t>
        </is>
      </c>
    </row>
    <row r="59">
      <c r="I59" t="inlineStr">
        <is>
          <t>474276A – AMBD AirScale book mount kit 100</t>
        </is>
      </c>
      <c r="J59" t="inlineStr">
        <is>
          <t>1000042870 – UEK2</t>
        </is>
      </c>
    </row>
    <row r="60">
      <c r="I60" t="inlineStr">
        <is>
          <t>474277A – AMBE AirScale book mount kit 125</t>
        </is>
      </c>
      <c r="J60" t="inlineStr">
        <is>
          <t>6000062025 – FO Jumper SM (LC/LC) 2m - outdoor</t>
        </is>
      </c>
    </row>
    <row r="61">
      <c r="I61" t="inlineStr">
        <is>
          <t>474278A – AMBF AirScale book mount kit 126-150</t>
        </is>
      </c>
      <c r="J61" t="inlineStr">
        <is>
          <t>6000062026 – FO Jumper SM (LC/LC) 5m - outdoor</t>
        </is>
      </c>
    </row>
    <row r="62">
      <c r="I62" t="inlineStr">
        <is>
          <t>474467A – AMBG AirScale book mount kit 151-175 for AHPMDD</t>
        </is>
      </c>
      <c r="J62" t="inlineStr">
        <is>
          <t>6000062027 – FO Jumper SM (LC/LC) 10m - outdoor</t>
        </is>
      </c>
    </row>
    <row r="63">
      <c r="I63" t="inlineStr">
        <is>
          <t>474280A – AMBH AirScale book mount kit 200</t>
        </is>
      </c>
      <c r="J63" t="inlineStr">
        <is>
          <t>6000062028 – FO Jumper SM (LC/LC) 20m - outdoor</t>
        </is>
      </c>
    </row>
    <row r="64">
      <c r="I64" t="inlineStr">
        <is>
          <t>474582A – AMRD AirScale one clip bracket over 200</t>
        </is>
      </c>
      <c r="J64" t="inlineStr">
        <is>
          <t>6000040848 – FO Jumper (LC/LC) 1m - indoor</t>
        </is>
      </c>
    </row>
    <row r="65">
      <c r="I65" t="inlineStr">
        <is>
          <t>474580A – AMRA AirScale one clip bracket 51-125 single band</t>
        </is>
      </c>
      <c r="J65" t="inlineStr">
        <is>
          <t>tbd – FO Jumper (LC/LC) 2m - indoor</t>
        </is>
      </c>
    </row>
    <row r="66">
      <c r="I66" t="inlineStr">
        <is>
          <t>474581A – AMRB AirScale one clip bracket 126-200 triple-band</t>
        </is>
      </c>
      <c r="J66" t="inlineStr">
        <is>
          <t>CSV74548 – MSV LDF 4-50 Jumper 4.3-10Male/Male 1m</t>
        </is>
      </c>
    </row>
    <row r="67">
      <c r="I67" t="inlineStr">
        <is>
          <t>475129A – FM3WB 5G ASMR Pole mounting kit</t>
        </is>
      </c>
      <c r="J67" t="inlineStr">
        <is>
          <t>CSV74550 – MSV LDF 4-50 Jumper 4.3-10Male/Male 2m</t>
        </is>
      </c>
    </row>
    <row r="68">
      <c r="I68" t="inlineStr">
        <is>
          <t>474147A – AHHA AirScale Micro 4T4R B7 20W</t>
        </is>
      </c>
      <c r="J68" t="inlineStr">
        <is>
          <t>CSV74551 – MSV LDF 4-50 Jumper 4.3-10Male/Male 3m</t>
        </is>
      </c>
    </row>
    <row r="69">
      <c r="I69" t="inlineStr">
        <is>
          <t>474513A – AHEJ AirScale Micro RRH 4T4R B3 20W</t>
        </is>
      </c>
      <c r="J69" t="inlineStr">
        <is>
          <t>CSV74552 – MSV LDF4-50 Jumper 4.3-10M/4.3-10M 4m</t>
        </is>
      </c>
    </row>
    <row r="70">
      <c r="I70" t="inlineStr">
        <is>
          <t>474514A – AHGB AirScale Micro RRH 4T4R B1 20W</t>
        </is>
      </c>
      <c r="J70" t="inlineStr">
        <is>
          <t>CSV74553 – MSV LDF4-50 Jumper 4.3-10 M/4.3-10 M 5m</t>
        </is>
      </c>
    </row>
    <row r="71">
      <c r="I71" t="inlineStr">
        <is>
          <t>474876A – AWHQF Airscale mRRH n78 4x10W 8L (B43) 3.6 - 3.8</t>
        </is>
      </c>
      <c r="J71" t="inlineStr">
        <is>
          <t>CSV74554 – MSV LDF4-50 Jumper 4.3-10 M/4.3-10 M 6m</t>
        </is>
      </c>
    </row>
    <row r="72">
      <c r="I72" t="inlineStr">
        <is>
          <t>474788A – AWHQE AirSc mRRH 4T4R n78 B42 40W</t>
        </is>
      </c>
      <c r="J72" t="inlineStr">
        <is>
          <t>CSV74555 – MSV LDF4-50 Jumper 4.3-10 M/4.3-10 M 7m</t>
        </is>
      </c>
    </row>
    <row r="73">
      <c r="I73" t="inlineStr">
        <is>
          <t>472949A – FOSP Optical SFP P 1310nm 9.8Gb 10km SM</t>
        </is>
      </c>
      <c r="J73" t="inlineStr">
        <is>
          <t>CSV74556 – MSV LDF4-50 Jumper 4.3-10 M/4.3-10 M 8m</t>
        </is>
      </c>
    </row>
    <row r="74">
      <c r="I74" t="inlineStr">
        <is>
          <t>475338A – AOSI 10Gbs SFP+ 1310nm 1.4km SM I-temp</t>
        </is>
      </c>
      <c r="J74" t="inlineStr">
        <is>
          <t>CSV74557 – MSV LDF4-50 Jumper 4.3-10 M/4.3-10 M 9m</t>
        </is>
      </c>
    </row>
    <row r="75">
      <c r="I75" t="inlineStr">
        <is>
          <t>475339A – AOSK 10G SFP+ 1310nm 10km SM I</t>
        </is>
      </c>
      <c r="J75" t="inlineStr">
        <is>
          <t>CSV74558 – MSV LDF4-50 Jumper 4.3-10 M/4.3-10 M 10m</t>
        </is>
      </c>
    </row>
    <row r="76">
      <c r="I76" t="inlineStr">
        <is>
          <t>475340A – AOSL 10G SFP+ 1310nm 20km SM I</t>
        </is>
      </c>
      <c r="J76" t="inlineStr">
        <is>
          <t>tbd – Adaptation frame for AAOB</t>
        </is>
      </c>
    </row>
    <row r="77">
      <c r="I77" t="inlineStr">
        <is>
          <t>474130A – APAB AirScale Micro AC PSU</t>
        </is>
      </c>
      <c r="J77" t="inlineStr">
        <is>
          <t>tbd – DC Amphenol connector</t>
        </is>
      </c>
    </row>
    <row r="78">
      <c r="I78" t="inlineStr">
        <is>
          <t>474518A – APAE AirScale Micro AC PSU</t>
        </is>
      </c>
      <c r="J78" t="inlineStr">
        <is>
          <t>tbd – FullAXS connector for FO</t>
        </is>
      </c>
    </row>
    <row r="79">
      <c r="I79" t="inlineStr">
        <is>
          <t>474866A – APAG AC/DC module fo AWHQF</t>
        </is>
      </c>
      <c r="J79" t="inlineStr">
        <is>
          <t>474769A – RET Control Cable 0.5 m</t>
        </is>
      </c>
    </row>
    <row r="80">
      <c r="I80" t="inlineStr">
        <is>
          <t>474244A – OCTIS Plug Kit AC Power</t>
        </is>
      </c>
      <c r="J80" t="inlineStr">
        <is>
          <t>474770A – RET Control Cable 1 m</t>
        </is>
      </c>
    </row>
    <row r="81">
      <c r="I81" t="inlineStr">
        <is>
          <t>474184A – OCTIS Plug Kit DC Power</t>
        </is>
      </c>
      <c r="J81" t="inlineStr">
        <is>
          <t>474771A – RET Control Cable 2 m</t>
        </is>
      </c>
    </row>
    <row r="82">
      <c r="I82" t="inlineStr">
        <is>
          <t>474183A – OCTIS Plug Kit SFP</t>
        </is>
      </c>
      <c r="J82" t="inlineStr">
        <is>
          <t>474772A – RET Control Cable 3 m</t>
        </is>
      </c>
    </row>
    <row r="83">
      <c r="I83" t="inlineStr">
        <is>
          <t>SV_LAB_01 – Attenuator for Lab</t>
        </is>
      </c>
      <c r="J83" t="inlineStr">
        <is>
          <t>474773A – RET Control Cable 5 m</t>
        </is>
      </c>
    </row>
    <row r="84">
      <c r="I84" t="inlineStr">
        <is>
          <t>474185A – AAFA AirScale mRRH Dir Ant 1.7G 2.2G</t>
        </is>
      </c>
      <c r="J84" t="inlineStr">
        <is>
          <t>474774A – RET Control Cable 10 m</t>
        </is>
      </c>
    </row>
    <row r="85">
      <c r="I85" t="inlineStr">
        <is>
          <t>474584A – AAHG AirScale mRRH Dir Ant 2.2G 2.6G</t>
        </is>
      </c>
      <c r="J85" t="inlineStr">
        <is>
          <t>474775A – RET Control Cable 20 m</t>
        </is>
      </c>
    </row>
    <row r="86">
      <c r="I86" t="inlineStr">
        <is>
          <t>474227A – AACA AirScale Micro Dir Ant 824-894 MHz</t>
        </is>
      </c>
      <c r="J86" t="inlineStr">
        <is>
          <t>474776A – RET Control Cable 25 m</t>
        </is>
      </c>
    </row>
    <row r="87">
      <c r="I87" t="inlineStr">
        <is>
          <t>474520A – AAQA Directional Panel Antenna  3300 – 3800MHz</t>
        </is>
      </c>
      <c r="J87" t="inlineStr">
        <is>
          <t>474777A – RET Control Cable 40 m</t>
        </is>
      </c>
    </row>
    <row r="88">
      <c r="I88" t="inlineStr">
        <is>
          <t>474182A – AMBA AirScale Micro Bracket Assembly Kit</t>
        </is>
      </c>
      <c r="J88" t="inlineStr">
        <is>
          <t>474778A – RET Control Cable 50 m</t>
        </is>
      </c>
    </row>
    <row r="89">
      <c r="I89" t="inlineStr">
        <is>
          <t>474332A – AMBC AirScale Micro Tilt Bracket</t>
        </is>
      </c>
      <c r="J89" t="inlineStr">
        <is>
          <t>474779A – RET Control Cable 60 m</t>
        </is>
      </c>
    </row>
    <row r="90">
      <c r="I90" t="inlineStr">
        <is>
          <t>474657A – APHA 12-port ASiR-sHUB (copper cable)</t>
        </is>
      </c>
      <c r="J90" t="inlineStr">
        <is>
          <t>474780A – RET Control Cable 80 m</t>
        </is>
      </c>
    </row>
    <row r="91">
      <c r="I91" t="inlineStr">
        <is>
          <t>475295A – APHG ASiR-sHUB w. hybrid fiber and eCPRI I/F</t>
        </is>
      </c>
      <c r="J91" t="inlineStr">
        <is>
          <t>474781A – RET Control Cable 100 m</t>
        </is>
      </c>
    </row>
    <row r="92">
      <c r="I92" t="inlineStr">
        <is>
          <t>475037A – FPW15 FZ ID Hub Power Cable C15, EU 3m</t>
        </is>
      </c>
    </row>
    <row r="93">
      <c r="I93" t="inlineStr">
        <is>
          <t>474753A – AWHQA ASiR-ANT n78 B42</t>
        </is>
      </c>
    </row>
    <row r="94">
      <c r="I94" t="inlineStr">
        <is>
          <t>474754A – AWHQB ASiR pRRH with PoE</t>
        </is>
      </c>
    </row>
    <row r="95">
      <c r="I95" t="inlineStr">
        <is>
          <t>474979A – AWHQJ ASiR-pRRH n78 B42 Ex Ant</t>
        </is>
      </c>
    </row>
    <row r="96">
      <c r="I96" t="inlineStr">
        <is>
          <t>474980A – AWHQK ASiR-pRRH n78 B43 Ex Ant</t>
        </is>
      </c>
    </row>
    <row r="97">
      <c r="I97" t="inlineStr">
        <is>
          <t>474626A – AHGEHA ASiR-ANT B1 + B3 + B7</t>
        </is>
      </c>
    </row>
    <row r="98">
      <c r="I98" t="inlineStr">
        <is>
          <t>474932A – AHGEB ASiR-ANT B1+B3 w/ Ex Ant</t>
        </is>
      </c>
    </row>
    <row r="99">
      <c r="I99" t="inlineStr">
        <is>
          <t>475240A – APHF ASiR HF converter</t>
        </is>
      </c>
    </row>
    <row r="100">
      <c r="I100" t="inlineStr">
        <is>
          <t>475073A – APHD ASiR Ethernet Extender</t>
        </is>
      </c>
    </row>
    <row r="101">
      <c r="I101" t="inlineStr">
        <is>
          <t>473309A – FUFBG SM OD fiber LC OD-LC OD dual 10m</t>
        </is>
      </c>
    </row>
    <row r="102">
      <c r="I102" t="inlineStr">
        <is>
          <t>473472A – FOTB Optical SFP+ 10GBase-LR 1310nm SM</t>
        </is>
      </c>
    </row>
    <row r="103">
      <c r="I103" t="inlineStr">
        <is>
          <t>471605A – FYMA GPS MOUNTING KIT</t>
        </is>
      </c>
    </row>
    <row r="104">
      <c r="I104" t="inlineStr">
        <is>
          <t>472510A – FTSE GPS cable assembly 30m</t>
        </is>
      </c>
    </row>
    <row r="105">
      <c r="I105" t="inlineStr">
        <is>
          <t>471812A – FYEA GPS Surge Protector Kit</t>
        </is>
      </c>
    </row>
    <row r="106">
      <c r="I106" t="inlineStr">
        <is>
          <t>474074A – FYGC GNSS Receiver Antenna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2026-10-21T11:19:31Z</dcterms:created>
  <dcterms:modified xmlns:dcterms="http://purl.org/dc/terms/" xmlns:xsi="http://www.w3.org/2001/XMLSchema-instance" xsi:type="dcterms:W3CDTF">2026-10-21T11:19:31Z</dcterms:modified>
</cp:coreProperties>
</file>